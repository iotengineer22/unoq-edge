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O9F8mqUQtdGucxOuAhTE/iF4AXoyjCsaqAfucs4Cxs="/>
    </ext>
  </extLst>
</workbook>
</file>

<file path=xl/sharedStrings.xml><?xml version="1.0" encoding="utf-8"?>
<sst xmlns="http://schemas.openxmlformats.org/spreadsheetml/2006/main" count="121" uniqueCount="68">
  <si>
    <t>PCBWay Bom Quotation, Product No.:</t>
  </si>
  <si>
    <t>Item #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</si>
  <si>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Designator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</si>
  <si>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</si>
  <si>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</si>
  <si>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</si>
  <si>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</si>
  <si>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t>Vendor Part #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</si>
  <si>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Package/Footprint</t>
    </r>
  </si>
  <si>
    <t>Mounting Type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</si>
  <si>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Unit Price(5 units)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</si>
  <si>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Total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</si>
  <si>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Delivery Time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</si>
  <si>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Actual Purchase Mfg Part #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</si>
  <si>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PCBWay Note</t>
    </r>
  </si>
  <si>
    <t>Customer Reply</t>
  </si>
  <si>
    <t>PCBWay Update</t>
  </si>
  <si>
    <t>,</t>
  </si>
  <si>
    <t/>
  </si>
  <si>
    <t>tht</t>
  </si>
  <si>
    <t>Please provide exact part number or component URL.</t>
  </si>
  <si>
    <t>Please ignore this item.</t>
  </si>
  <si>
    <t>C1, C4</t>
  </si>
  <si>
    <t>SAMSUNG</t>
  </si>
  <si>
    <t>10uF『 』Unpolarized capacitor, small symbol</t>
  </si>
  <si>
    <t>C15525</t>
  </si>
  <si>
    <t>C_0402_1005Metric</t>
  </si>
  <si>
    <t>smt</t>
  </si>
  <si>
    <t>CL05A106MQ5NUNC</t>
  </si>
  <si>
    <t>OK</t>
  </si>
  <si>
    <t>C2, C3</t>
  </si>
  <si>
    <t>0.1uF『 』Unpolarized capacitor, small symbol</t>
  </si>
  <si>
    <t>C52923</t>
  </si>
  <si>
    <t>CL05A105KA5NQNC</t>
  </si>
  <si>
    <t>The correct capacitance value for the listed Part Number [CL05A105KA5NQNC] is indeed [1uF], not [0.1uF].Please confirm.</t>
  </si>
  <si>
    <t>Please use 0.1uF
Ex.
CL05A104KA5NNNC</t>
  </si>
  <si>
    <t>CAM0, CAM1, DISP0</t>
  </si>
  <si>
    <t>JS</t>
  </si>
  <si>
    <t>~</t>
  </si>
  <si>
    <t>C11091</t>
  </si>
  <si>
    <t>JUSHUO_AFC07-S22ECC-00-_1x22-1MP_P0.5mm_Horizontal</t>
  </si>
  <si>
    <t>AFC07-S22ECC-00</t>
  </si>
  <si>
    <t>JMEDIA_1, JMISC_1</t>
  </si>
  <si>
    <t>BOOMELE</t>
  </si>
  <si>
    <t>Conn_02x30_Odd_Even『 』Generic connector, double row, 02x30, odd/even pin numbering scheme (row 1 odd numbers, row 2 even numbers), script generated (kicad-library-utils/schlib/autogen/connector/)</t>
  </si>
  <si>
    <t>C191721</t>
  </si>
  <si>
    <t>PinHeader_2x30_P1.27mm_Vertical_SMD_Mirrored</t>
  </si>
  <si>
    <t>1.27-2*30P立贴针</t>
  </si>
  <si>
    <t>JMEDIA_2, JMISC_2</t>
  </si>
  <si>
    <t>C72530</t>
  </si>
  <si>
    <t>PinHeader_2x30_P1.27mm_Vertical_SMD</t>
  </si>
  <si>
    <t>1.27-2*30P立贴母</t>
  </si>
  <si>
    <t>R1</t>
  </si>
  <si>
    <t>UNI-ROYAL</t>
  </si>
  <si>
    <t>100k『 』Resistor, US symbol</t>
  </si>
  <si>
    <t>C25741</t>
  </si>
  <si>
    <t>R_0402_1005Metric_custom</t>
  </si>
  <si>
    <t>0402WGF1003TCE</t>
  </si>
  <si>
    <t>U2</t>
  </si>
  <si>
    <t>TI</t>
  </si>
  <si>
    <t>TXS0108EPWR</t>
  </si>
  <si>
    <t>C17206</t>
  </si>
  <si>
    <t>SOP65P640X120-20N</t>
  </si>
  <si>
    <t>Component Cost</t>
  </si>
  <si>
    <t>Assembly Cost</t>
  </si>
  <si>
    <t>PCB Cost</t>
  </si>
  <si>
    <t>V2 Member 2% off</t>
  </si>
  <si>
    <t>All Total 5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</si>
</sst>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0.000"/>
    <numFmt numFmtId="165" formatCode="\$0.00"/>
  </numFmts>
  <fonts count="8">
    <font>
      <sz val="12.0"/>
      <color rgb="FF000000"/>
      <name val="SimSun"/>
      <scheme val="minor"/>
    </font>
    <font>
      <b/>
      <sz val="11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1"/>
    </xf>
    <xf borderId="4" fillId="0" fontId="5" numFmtId="164" xfId="0" applyAlignment="1" applyBorder="1" applyFont="1" applyNumberForma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1"/>
    </xf>
    <xf borderId="4" fillId="0" fontId="7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50495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10.22"/>
    <col customWidth="1" min="3" max="3" width="5.33"/>
    <col customWidth="1" min="4" max="4" width="12.11"/>
    <col customWidth="1" min="5" max="5" width="18.33"/>
    <col customWidth="1" min="6" max="6" width="50.0"/>
    <col customWidth="1" min="7" max="7" width="20.22"/>
    <col customWidth="1" min="8" max="8" width="26.33"/>
    <col customWidth="1" min="9" max="9" width="16.0"/>
    <col customWidth="1" min="10" max="10" width="18.0"/>
    <col customWidth="1" min="11" max="11" width="12.0"/>
    <col customWidth="1" min="12" max="12" width="16.0"/>
    <col customWidth="1" min="13" max="13" width="26.0"/>
    <col customWidth="1" min="14" max="16" width="14.0"/>
    <col customWidth="1" min="17" max="36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25.5" customHeight="1">
      <c r="A2" s="5" t="s">
        <v>1</v>
      </c>
      <c r="B2" s="6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51.0" customHeight="1">
      <c r="A3" s="7">
        <v>1.0</v>
      </c>
      <c r="B3" s="7" t="s">
        <v>17</v>
      </c>
      <c r="C3" s="7">
        <v>2.0</v>
      </c>
      <c r="D3" s="7" t="s">
        <v>18</v>
      </c>
      <c r="E3" s="7" t="s">
        <v>18</v>
      </c>
      <c r="F3" s="8" t="s">
        <v>18</v>
      </c>
      <c r="G3" s="7" t="s">
        <v>18</v>
      </c>
      <c r="H3" s="7" t="s">
        <v>18</v>
      </c>
      <c r="I3" s="8" t="s">
        <v>19</v>
      </c>
      <c r="J3" s="9" t="s">
        <v>18</v>
      </c>
      <c r="K3" s="9" t="s">
        <v>18</v>
      </c>
      <c r="L3" s="7" t="s">
        <v>18</v>
      </c>
      <c r="M3" s="10" t="s">
        <v>18</v>
      </c>
      <c r="N3" s="11" t="s">
        <v>20</v>
      </c>
      <c r="O3" s="7" t="s">
        <v>21</v>
      </c>
      <c r="P3" s="7" t="s">
        <v>18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7">
        <v>2.0</v>
      </c>
      <c r="B4" s="7" t="s">
        <v>22</v>
      </c>
      <c r="C4" s="7">
        <v>2.0</v>
      </c>
      <c r="D4" s="7" t="s">
        <v>23</v>
      </c>
      <c r="E4" s="7" t="s">
        <v>18</v>
      </c>
      <c r="F4" s="8" t="s">
        <v>24</v>
      </c>
      <c r="G4" s="7" t="s">
        <v>25</v>
      </c>
      <c r="H4" s="7" t="s">
        <v>26</v>
      </c>
      <c r="I4" s="8" t="s">
        <v>27</v>
      </c>
      <c r="J4" s="9">
        <v>0.151</v>
      </c>
      <c r="K4" s="9">
        <f t="shared" ref="K4:K10" si="1">C4*J4*5</f>
        <v>1.51</v>
      </c>
      <c r="L4" s="7" t="s">
        <v>18</v>
      </c>
      <c r="M4" s="10" t="s">
        <v>28</v>
      </c>
      <c r="N4" s="11" t="s">
        <v>18</v>
      </c>
      <c r="O4" s="7" t="s">
        <v>29</v>
      </c>
      <c r="P4" s="7" t="s">
        <v>18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14.75" customHeight="1">
      <c r="A5" s="7">
        <v>3.0</v>
      </c>
      <c r="B5" s="7" t="s">
        <v>30</v>
      </c>
      <c r="C5" s="7">
        <v>2.0</v>
      </c>
      <c r="D5" s="7" t="s">
        <v>23</v>
      </c>
      <c r="E5" s="7" t="s">
        <v>18</v>
      </c>
      <c r="F5" s="8" t="s">
        <v>31</v>
      </c>
      <c r="G5" s="7" t="s">
        <v>32</v>
      </c>
      <c r="H5" s="7" t="s">
        <v>26</v>
      </c>
      <c r="I5" s="8" t="s">
        <v>27</v>
      </c>
      <c r="J5" s="9">
        <v>0.101</v>
      </c>
      <c r="K5" s="9">
        <f t="shared" si="1"/>
        <v>1.01</v>
      </c>
      <c r="L5" s="7" t="s">
        <v>18</v>
      </c>
      <c r="M5" s="10" t="s">
        <v>33</v>
      </c>
      <c r="N5" s="11" t="s">
        <v>34</v>
      </c>
      <c r="O5" s="7" t="s">
        <v>35</v>
      </c>
      <c r="P5" s="7" t="s">
        <v>18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7">
        <v>4.0</v>
      </c>
      <c r="B6" s="7" t="s">
        <v>36</v>
      </c>
      <c r="C6" s="7">
        <v>3.0</v>
      </c>
      <c r="D6" s="7" t="s">
        <v>37</v>
      </c>
      <c r="E6" s="7" t="s">
        <v>18</v>
      </c>
      <c r="F6" s="8" t="s">
        <v>38</v>
      </c>
      <c r="G6" s="7" t="s">
        <v>39</v>
      </c>
      <c r="H6" s="7" t="s">
        <v>40</v>
      </c>
      <c r="I6" s="8" t="s">
        <v>27</v>
      </c>
      <c r="J6" s="9">
        <v>0.139</v>
      </c>
      <c r="K6" s="9">
        <f t="shared" si="1"/>
        <v>2.085</v>
      </c>
      <c r="L6" s="7" t="s">
        <v>18</v>
      </c>
      <c r="M6" s="10" t="s">
        <v>41</v>
      </c>
      <c r="N6" s="8" t="s">
        <v>18</v>
      </c>
      <c r="O6" s="7" t="s">
        <v>29</v>
      </c>
      <c r="P6" s="7" t="s">
        <v>18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51.0" customHeight="1">
      <c r="A7" s="7">
        <v>5.0</v>
      </c>
      <c r="B7" s="7" t="s">
        <v>42</v>
      </c>
      <c r="C7" s="7">
        <v>2.0</v>
      </c>
      <c r="D7" s="7" t="s">
        <v>43</v>
      </c>
      <c r="E7" s="7" t="s">
        <v>18</v>
      </c>
      <c r="F7" s="8" t="s">
        <v>44</v>
      </c>
      <c r="G7" s="7" t="s">
        <v>45</v>
      </c>
      <c r="H7" s="7" t="s">
        <v>46</v>
      </c>
      <c r="I7" s="8" t="s">
        <v>27</v>
      </c>
      <c r="J7" s="9">
        <v>0.528</v>
      </c>
      <c r="K7" s="9">
        <f t="shared" si="1"/>
        <v>5.28</v>
      </c>
      <c r="L7" s="7" t="s">
        <v>18</v>
      </c>
      <c r="M7" s="10" t="s">
        <v>47</v>
      </c>
      <c r="N7" s="8" t="s">
        <v>18</v>
      </c>
      <c r="O7" s="7" t="s">
        <v>29</v>
      </c>
      <c r="P7" s="7" t="s">
        <v>18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51.0" customHeight="1">
      <c r="A8" s="7">
        <v>6.0</v>
      </c>
      <c r="B8" s="7" t="s">
        <v>48</v>
      </c>
      <c r="C8" s="7">
        <v>2.0</v>
      </c>
      <c r="D8" s="7" t="s">
        <v>43</v>
      </c>
      <c r="E8" s="7" t="s">
        <v>18</v>
      </c>
      <c r="F8" s="8" t="s">
        <v>44</v>
      </c>
      <c r="G8" s="7" t="s">
        <v>49</v>
      </c>
      <c r="H8" s="7" t="s">
        <v>50</v>
      </c>
      <c r="I8" s="8" t="s">
        <v>27</v>
      </c>
      <c r="J8" s="9">
        <v>0.662</v>
      </c>
      <c r="K8" s="9">
        <f t="shared" si="1"/>
        <v>6.62</v>
      </c>
      <c r="L8" s="7" t="s">
        <v>18</v>
      </c>
      <c r="M8" s="10" t="s">
        <v>51</v>
      </c>
      <c r="N8" s="8" t="s">
        <v>18</v>
      </c>
      <c r="O8" s="7" t="s">
        <v>29</v>
      </c>
      <c r="P8" s="7" t="s">
        <v>18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7">
        <v>7.0</v>
      </c>
      <c r="B9" s="7" t="s">
        <v>52</v>
      </c>
      <c r="C9" s="7">
        <v>1.0</v>
      </c>
      <c r="D9" s="7" t="s">
        <v>53</v>
      </c>
      <c r="E9" s="7" t="s">
        <v>18</v>
      </c>
      <c r="F9" s="8" t="s">
        <v>54</v>
      </c>
      <c r="G9" s="7" t="s">
        <v>55</v>
      </c>
      <c r="H9" s="7" t="s">
        <v>56</v>
      </c>
      <c r="I9" s="8" t="s">
        <v>27</v>
      </c>
      <c r="J9" s="9">
        <v>0.032</v>
      </c>
      <c r="K9" s="9">
        <f t="shared" si="1"/>
        <v>0.16</v>
      </c>
      <c r="L9" s="7" t="s">
        <v>18</v>
      </c>
      <c r="M9" s="10" t="s">
        <v>57</v>
      </c>
      <c r="N9" s="8" t="s">
        <v>18</v>
      </c>
      <c r="O9" s="7" t="s">
        <v>29</v>
      </c>
      <c r="P9" s="7" t="s">
        <v>18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7">
        <v>8.0</v>
      </c>
      <c r="B10" s="7" t="s">
        <v>58</v>
      </c>
      <c r="C10" s="7">
        <v>1.0</v>
      </c>
      <c r="D10" s="7" t="s">
        <v>59</v>
      </c>
      <c r="E10" s="7" t="s">
        <v>18</v>
      </c>
      <c r="F10" s="8" t="s">
        <v>60</v>
      </c>
      <c r="G10" s="7" t="s">
        <v>61</v>
      </c>
      <c r="H10" s="7" t="s">
        <v>62</v>
      </c>
      <c r="I10" s="8" t="s">
        <v>27</v>
      </c>
      <c r="J10" s="9">
        <v>0.389</v>
      </c>
      <c r="K10" s="9">
        <f t="shared" si="1"/>
        <v>1.945</v>
      </c>
      <c r="L10" s="7" t="s">
        <v>18</v>
      </c>
      <c r="M10" s="10" t="s">
        <v>60</v>
      </c>
      <c r="N10" s="8" t="s">
        <v>18</v>
      </c>
      <c r="O10" s="7" t="s">
        <v>29</v>
      </c>
      <c r="P10" s="7" t="s">
        <v>18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7" t="s">
        <v>63</v>
      </c>
      <c r="K11" s="12">
        <f>SUM(K3:K10)</f>
        <v>18.61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7" t="s">
        <v>64</v>
      </c>
      <c r="K12" s="12">
        <v>29.0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7" t="s">
        <v>65</v>
      </c>
      <c r="K13" s="12">
        <v>25.97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7" t="s">
        <v>66</v>
      </c>
      <c r="K14" s="12">
        <f>-0.02*SUM(K12:K13)</f>
        <v>-1.0994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7" t="s">
        <v>67</v>
      </c>
      <c r="K15" s="12">
        <f>SUM(K11:K14)</f>
        <v>72.4806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4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2020-08-21T01:41:33Z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  <property fmtid="{D5CDD505-2E9C-101B-9397-08002B2CF9AE}" pid="5" name="ICV">
    <vt:lpwstr>037C3318FEB4496FAD5F340B9594C6AC_12</vt:lpwstr>
  </property>
  <property fmtid="{D5CDD505-2E9C-101B-9397-08002B2CF9AE}" pid="6" name="CalculationRule">
    <vt:r8>0.0</vt:r8>
  </property>
</Properties>
</file>